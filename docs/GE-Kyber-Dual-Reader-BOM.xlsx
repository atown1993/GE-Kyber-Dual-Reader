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<sst xmlns="http://schemas.openxmlformats.org/spreadsheetml/2006/main" count="69" uniqueCount="67">
  <si>
    <t xml:space="preserve">GE Kyber Dual Reader — Bill of Materials</t>
  </si>
  <si>
    <t xml:space="preserve">Affiliate tag (edit here, every link updates):</t>
  </si>
  <si>
    <t xml:space="preserve">atown93-20</t>
  </si>
  <si>
    <t xml:space="preserve">Blue = typed inputs (tag, ASIN, qty, price). Black = formulas. Yellow = fill in / verify. Prices = what was paid on the order date, not current.</t>
  </si>
  <si>
    <t xml:space="preserve">#</t>
  </si>
  <si>
    <t xml:space="preserve">Part</t>
  </si>
  <si>
    <t xml:space="preserve">Role in the build</t>
  </si>
  <si>
    <t xml:space="preserve">Qty needed</t>
  </si>
  <si>
    <t xml:space="preserve">Pack size</t>
  </si>
  <si>
    <t xml:space="preserve">Packs to buy</t>
  </si>
  <si>
    <t xml:space="preserve">Unit price paid ($)</t>
  </si>
  <si>
    <t xml:space="preserve">Cost for build ($)</t>
  </si>
  <si>
    <t xml:space="preserve">ASIN</t>
  </si>
  <si>
    <t xml:space="preserve">Affiliate link</t>
  </si>
  <si>
    <t xml:space="preserve">Order date (price as-of)</t>
  </si>
  <si>
    <t xml:space="preserve">Notes</t>
  </si>
  <si>
    <t xml:space="preserve">HiLetgo ESP32 OLED board (HW-724)</t>
  </si>
  <si>
    <t xml:space="preserve">MCU + OLED display</t>
  </si>
  <si>
    <t xml:space="preserve">B072HBW53G</t>
  </si>
  <si>
    <t xml:space="preserve">2026-06-29</t>
  </si>
  <si>
    <t xml:space="preserve">Pin map is specific to this board (Wemos LOLIN32-OLED layout). Ordered as a 2-pack at $13.49 each.</t>
  </si>
  <si>
    <t xml:space="preserve">hiBCTR RDM6300 125 kHz RFID reader (HW-205)</t>
  </si>
  <si>
    <t xml:space="preserve">Reader A and B, with stock coil</t>
  </si>
  <si>
    <t xml:space="preserve">B0FDLFTGF9</t>
  </si>
  <si>
    <t xml:space="preserve">2026-08-05</t>
  </si>
  <si>
    <t xml:space="preserve">The two used in the build. Ships with the 46x32 mm coil.</t>
  </si>
  <si>
    <t xml:space="preserve">HiLetgo RDM6300 125 kHz RFID reader</t>
  </si>
  <si>
    <t xml:space="preserve">Alternative reader (same module)</t>
  </si>
  <si>
    <t xml:space="preserve">B00HGB9TOE</t>
  </si>
  <si>
    <t xml:space="preserve">2025-09-10</t>
  </si>
  <si>
    <t xml:space="preserve">Interchangeable with the hiBCTR one; listed so builders have a second source.</t>
  </si>
  <si>
    <t xml:space="preserve">ALLECIN 2N7000 N-channel MOSFET, TO-92</t>
  </si>
  <si>
    <t xml:space="preserve">Ground switch per reader (TDM)</t>
  </si>
  <si>
    <t xml:space="preserve">B0CBKHJQZF</t>
  </si>
  <si>
    <t xml:space="preserve">2026-01-07</t>
  </si>
  <si>
    <t xml:space="preserve">Any 2N7000 works.</t>
  </si>
  <si>
    <t xml:space="preserve">PANMILED 1/4 W resistor assortment, 140 values</t>
  </si>
  <si>
    <t xml:space="preserve">Supplies 47 Ω, 220 Ω, 20 kΩ</t>
  </si>
  <si>
    <t xml:space="preserve">B0CTG793CV</t>
  </si>
  <si>
    <t xml:space="preserve">2025-09-22</t>
  </si>
  <si>
    <t xml:space="preserve">Need 4x 47 Ω, 2x 220 Ω, 2x 20 kΩ (plus 2x 10 kΩ if not using the next row). One kit covers everything.</t>
  </si>
  <si>
    <t xml:space="preserve">California JOS 10 kΩ 1/4 W resistors, 100 pcs</t>
  </si>
  <si>
    <t xml:space="preserve">Divider top resistor</t>
  </si>
  <si>
    <t xml:space="preserve">B0B4JFPHTW</t>
  </si>
  <si>
    <t xml:space="preserve">2025-07-04</t>
  </si>
  <si>
    <t xml:space="preserve">Optional — the assortment kit above also has 10 kΩ.</t>
  </si>
  <si>
    <t xml:space="preserve">EDGELEC 5 mm RGB LED, common anode, 100 pcs ("[24] Rgb Tri-color (Common Anode)" variant)</t>
  </si>
  <si>
    <t xml:space="preserve">End indicator (one per end)</t>
  </si>
  <si>
    <t xml:space="preserve">B077XD5T8P</t>
  </si>
  <si>
    <t xml:space="preserve">2026-09-03 (list price)</t>
  </si>
  <si>
    <t xml:space="preserve">Longest leg = anode. Common-CATHODE variant of the same listing is B077XGF3YR — also works with COMMON_ANODE 0 and the common leg on GND. Reviewers note these are dim at 3.3 V, which is why G/B use 47 Ω.</t>
  </si>
  <si>
    <t xml:space="preserve">ELEGOO 400-point solderless breadboard, 6-pack</t>
  </si>
  <si>
    <t xml:space="preserve">Mounts everything</t>
  </si>
  <si>
    <t xml:space="preserve">B0CYPVMK9J</t>
  </si>
  <si>
    <t xml:space="preserve">30 columns — the breadboard maps are drawn on exactly this board. Any larger board also works.</t>
  </si>
  <si>
    <t xml:space="preserve">ELEGOO Dupont jumper wires, 120 pcs M-M / M-F / F-F</t>
  </si>
  <si>
    <t xml:space="preserve">Hook-up</t>
  </si>
  <si>
    <t xml:space="preserve">B01EV70C78</t>
  </si>
  <si>
    <t xml:space="preserve">Male-female for module headers, male-male for the board.</t>
  </si>
  <si>
    <t xml:space="preserve">SinLoon Dupont jumper wires M-F</t>
  </si>
  <si>
    <t xml:space="preserve">Hook-up (alternative)</t>
  </si>
  <si>
    <t xml:space="preserve">B08M3QLL3Q</t>
  </si>
  <si>
    <t xml:space="preserve">2026-08-09</t>
  </si>
  <si>
    <t xml:space="preserve">Second source.</t>
  </si>
  <si>
    <t xml:space="preserve">Build cost (packs, as priced):</t>
  </si>
  <si>
    <t xml:space="preserve">Rows with qty 0 are alternates and add $0.</t>
  </si>
  <si>
    <t xml:space="preserve">Sources: prices and ASINs from Matt's Amazon order history (2026-08-09 export) except the LED row (Amazon list price seen 2026-09-03). Prices are what was paid on the order date, not current.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</si>
</sst>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\$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4"/>
    <col collapsed="false" customWidth="true" hidden="false" outlineLevel="0" max="3" min="3" style="1" width="28"/>
    <col collapsed="false" customWidth="true" hidden="false" outlineLevel="0" max="4" min="4" style="1" width="10"/>
    <col collapsed="false" customWidth="true" hidden="false" outlineLevel="0" max="5" min="5" style="1" width="9"/>
    <col collapsed="false" customWidth="true" hidden="false" outlineLevel="0" max="6" min="6" style="1" width="10"/>
    <col collapsed="false" customWidth="true" hidden="false" outlineLevel="0" max="8" min="7" style="1" width="12"/>
    <col collapsed="false" customWidth="true" hidden="false" outlineLevel="0" max="9" min="9" style="1" width="13"/>
    <col collapsed="false" customWidth="true" hidden="false" outlineLevel="0" max="10" min="10" style="1" width="30"/>
    <col collapsed="false" customWidth="true" hidden="false" outlineLevel="0" max="11" min="11" style="1" width="13"/>
    <col collapsed="false" customWidth="true" hidden="false" outlineLevel="0" max="12" min="12" style="1" width="6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C2" s="4" t="s">
        <v>2</v>
      </c>
    </row>
    <row r="3" customFormat="false" ht="15" hidden="false" customHeight="true" outlineLevel="0" collapsed="false">
      <c r="A3" s="5" t="s">
        <v>3</v>
      </c>
    </row>
    <row r="5" customFormat="false" ht="31.5" hidden="false" customHeight="true" outlineLevel="0" collapsed="false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</row>
    <row r="6" customFormat="false" ht="23.25" hidden="false" customHeight="true" outlineLevel="0" collapsed="false">
      <c r="A6" s="7" t="n">
        <v>1</v>
      </c>
      <c r="B6" s="7" t="s">
        <v>16</v>
      </c>
      <c r="C6" s="7" t="s">
        <v>17</v>
      </c>
      <c r="D6" s="8" t="n">
        <v>1</v>
      </c>
      <c r="E6" s="8" t="n">
        <v>1</v>
      </c>
      <c r="F6" s="7" t="n">
        <f aca="false">IF(OR(D6=0,E6=""),0,ROUNDUP(D6/E6,0))</f>
        <v>1</v>
      </c>
      <c r="G6" s="9" t="n">
        <v>13.49</v>
      </c>
      <c r="H6" s="10" t="n">
        <f aca="false">IF(G6="","",F6*G6)</f>
        <v>13.49</v>
      </c>
      <c r="I6" s="8" t="s">
        <v>18</v>
      </c>
      <c r="J6" s="11" t="str">
        <f aca="false">IF(I6="","",HYPERLINK("https://www.amazon.com/dp/"&amp;I6&amp;"/?tag="&amp;$C$2,"amazon.com/dp/"&amp;I6))</f>
        <v>amazon.com/dp/B072HBW53G</v>
      </c>
      <c r="K6" s="7" t="s">
        <v>19</v>
      </c>
      <c r="L6" s="7" t="s">
        <v>20</v>
      </c>
    </row>
    <row r="7" customFormat="false" ht="15" hidden="false" customHeight="true" outlineLevel="0" collapsed="false">
      <c r="A7" s="7" t="n">
        <v>2</v>
      </c>
      <c r="B7" s="7" t="s">
        <v>21</v>
      </c>
      <c r="C7" s="7" t="s">
        <v>22</v>
      </c>
      <c r="D7" s="8" t="n">
        <v>2</v>
      </c>
      <c r="E7" s="8" t="n">
        <v>1</v>
      </c>
      <c r="F7" s="7" t="n">
        <f aca="false">IF(OR(D7=0,E7=""),0,ROUNDUP(D7/E7,0))</f>
        <v>2</v>
      </c>
      <c r="G7" s="9" t="n">
        <v>8.27</v>
      </c>
      <c r="H7" s="10" t="n">
        <f aca="false">IF(G7="","",F7*G7)</f>
        <v>16.54</v>
      </c>
      <c r="I7" s="8" t="s">
        <v>23</v>
      </c>
      <c r="J7" s="11" t="str">
        <f aca="false">IF(I7="","",HYPERLINK("https://www.amazon.com/dp/"&amp;I7&amp;"/?tag="&amp;$C$2,"amazon.com/dp/"&amp;I7))</f>
        <v>amazon.com/dp/B0FDLFTGF9</v>
      </c>
      <c r="K7" s="7" t="s">
        <v>24</v>
      </c>
      <c r="L7" s="7" t="s">
        <v>25</v>
      </c>
    </row>
    <row r="8" customFormat="false" ht="23.25" hidden="false" customHeight="true" outlineLevel="0" collapsed="false">
      <c r="A8" s="7" t="n">
        <v>3</v>
      </c>
      <c r="B8" s="7" t="s">
        <v>26</v>
      </c>
      <c r="C8" s="7" t="s">
        <v>27</v>
      </c>
      <c r="D8" s="8" t="n">
        <v>0</v>
      </c>
      <c r="E8" s="8" t="n">
        <v>1</v>
      </c>
      <c r="F8" s="7" t="n">
        <f aca="false">IF(OR(D8=0,E8=""),0,ROUNDUP(D8/E8,0))</f>
        <v>0</v>
      </c>
      <c r="G8" s="9" t="n">
        <v>8.29</v>
      </c>
      <c r="H8" s="10" t="n">
        <f aca="false">IF(G8="","",F8*G8)</f>
        <v>0</v>
      </c>
      <c r="I8" s="8" t="s">
        <v>28</v>
      </c>
      <c r="J8" s="11" t="str">
        <f aca="false">IF(I8="","",HYPERLINK("https://www.amazon.com/dp/"&amp;I8&amp;"/?tag="&amp;$C$2,"amazon.com/dp/"&amp;I8))</f>
        <v>amazon.com/dp/B00HGB9TOE</v>
      </c>
      <c r="K8" s="7" t="s">
        <v>29</v>
      </c>
      <c r="L8" s="7" t="s">
        <v>30</v>
      </c>
    </row>
    <row r="9" customFormat="false" ht="15" hidden="false" customHeight="true" outlineLevel="0" collapsed="false">
      <c r="A9" s="7" t="n">
        <v>4</v>
      </c>
      <c r="B9" s="7" t="s">
        <v>31</v>
      </c>
      <c r="C9" s="7" t="s">
        <v>32</v>
      </c>
      <c r="D9" s="8" t="n">
        <v>2</v>
      </c>
      <c r="E9" s="8" t="n">
        <v>100</v>
      </c>
      <c r="F9" s="7" t="n">
        <f aca="false">IF(OR(D9=0,E9=""),0,ROUNDUP(D9/E9,0))</f>
        <v>1</v>
      </c>
      <c r="G9" s="9" t="n">
        <v>7.99</v>
      </c>
      <c r="H9" s="10" t="n">
        <f aca="false">IF(G9="","",F9*G9)</f>
        <v>7.99</v>
      </c>
      <c r="I9" s="8" t="s">
        <v>33</v>
      </c>
      <c r="J9" s="11" t="str">
        <f aca="false">IF(I9="","",HYPERLINK("https://www.amazon.com/dp/"&amp;I9&amp;"/?tag="&amp;$C$2,"amazon.com/dp/"&amp;I9))</f>
        <v>amazon.com/dp/B0CBKHJQZF</v>
      </c>
      <c r="K9" s="7" t="s">
        <v>34</v>
      </c>
      <c r="L9" s="7" t="s">
        <v>35</v>
      </c>
    </row>
    <row r="10" customFormat="false" ht="23.25" hidden="false" customHeight="true" outlineLevel="0" collapsed="false">
      <c r="A10" s="7" t="n">
        <v>5</v>
      </c>
      <c r="B10" s="7" t="s">
        <v>36</v>
      </c>
      <c r="C10" s="7" t="s">
        <v>37</v>
      </c>
      <c r="D10" s="8" t="n">
        <v>8</v>
      </c>
      <c r="E10" s="8" t="n">
        <v>1400</v>
      </c>
      <c r="F10" s="7" t="n">
        <f aca="false">IF(OR(D10=0,E10=""),0,ROUNDUP(D10/E10,0))</f>
        <v>1</v>
      </c>
      <c r="G10" s="9" t="n">
        <v>16.5</v>
      </c>
      <c r="H10" s="10" t="n">
        <f aca="false">IF(G10="","",F10*G10)</f>
        <v>16.5</v>
      </c>
      <c r="I10" s="8" t="s">
        <v>38</v>
      </c>
      <c r="J10" s="11" t="str">
        <f aca="false">IF(I10="","",HYPERLINK("https://www.amazon.com/dp/"&amp;I10&amp;"/?tag="&amp;$C$2,"amazon.com/dp/"&amp;I10))</f>
        <v>amazon.com/dp/B0CTG793CV</v>
      </c>
      <c r="K10" s="7" t="s">
        <v>39</v>
      </c>
      <c r="L10" s="7" t="s">
        <v>40</v>
      </c>
    </row>
    <row r="11" customFormat="false" ht="15" hidden="false" customHeight="true" outlineLevel="0" collapsed="false">
      <c r="A11" s="7" t="n">
        <v>6</v>
      </c>
      <c r="B11" s="7" t="s">
        <v>41</v>
      </c>
      <c r="C11" s="7" t="s">
        <v>42</v>
      </c>
      <c r="D11" s="8" t="n">
        <v>2</v>
      </c>
      <c r="E11" s="8" t="n">
        <v>100</v>
      </c>
      <c r="F11" s="7" t="n">
        <f aca="false">IF(OR(D11=0,E11=""),0,ROUNDUP(D11/E11,0))</f>
        <v>1</v>
      </c>
      <c r="G11" s="9" t="n">
        <v>4.97</v>
      </c>
      <c r="H11" s="10" t="n">
        <f aca="false">IF(G11="","",F11*G11)</f>
        <v>4.97</v>
      </c>
      <c r="I11" s="8" t="s">
        <v>43</v>
      </c>
      <c r="J11" s="11" t="str">
        <f aca="false">IF(I11="","",HYPERLINK("https://www.amazon.com/dp/"&amp;I11&amp;"/?tag="&amp;$C$2,"amazon.com/dp/"&amp;I11))</f>
        <v>amazon.com/dp/B0B4JFPHTW</v>
      </c>
      <c r="K11" s="7" t="s">
        <v>44</v>
      </c>
      <c r="L11" s="7" t="s">
        <v>45</v>
      </c>
    </row>
    <row r="12" customFormat="false" ht="15" hidden="false" customHeight="true" outlineLevel="0" collapsed="false">
      <c r="A12" s="7" t="n">
        <v>7</v>
      </c>
      <c r="B12" s="7" t="s">
        <v>46</v>
      </c>
      <c r="C12" s="7" t="s">
        <v>47</v>
      </c>
      <c r="D12" s="8" t="n">
        <v>2</v>
      </c>
      <c r="E12" s="8" t="n">
        <v>100</v>
      </c>
      <c r="F12" s="7" t="n">
        <f aca="false">IF(OR(D12=0,E12=""),0,ROUNDUP(D12/E12,0))</f>
        <v>1</v>
      </c>
      <c r="G12" s="9" t="n">
        <v>8.99</v>
      </c>
      <c r="H12" s="10" t="n">
        <f aca="false">IF(G12="","",F12*G12)</f>
        <v>8.99</v>
      </c>
      <c r="I12" s="8" t="s">
        <v>48</v>
      </c>
      <c r="J12" s="11" t="str">
        <f aca="false">IF(I12="","",HYPERLINK("https://www.amazon.com/dp/"&amp;I12&amp;"/?tag="&amp;$C$2,"amazon.com/dp/"&amp;I12))</f>
        <v>amazon.com/dp/B077XD5T8P</v>
      </c>
      <c r="K12" s="7" t="s">
        <v>49</v>
      </c>
      <c r="L12" s="7" t="s">
        <v>50</v>
      </c>
    </row>
    <row r="13" customFormat="false" ht="34.5" hidden="false" customHeight="true" outlineLevel="0" collapsed="false">
      <c r="A13" s="7" t="n">
        <v>8</v>
      </c>
      <c r="B13" s="7" t="s">
        <v>51</v>
      </c>
      <c r="C13" s="7" t="s">
        <v>52</v>
      </c>
      <c r="D13" s="8" t="n">
        <v>1</v>
      </c>
      <c r="E13" s="8" t="n">
        <v>6</v>
      </c>
      <c r="F13" s="7" t="n">
        <f aca="false">IF(OR(D13=0,E13=""),0,ROUNDUP(D13/E13,0))</f>
        <v>1</v>
      </c>
      <c r="G13" s="9" t="n">
        <v>8.99</v>
      </c>
      <c r="H13" s="10" t="n">
        <f aca="false">IF(G13="","",F13*G13)</f>
        <v>8.99</v>
      </c>
      <c r="I13" s="8" t="s">
        <v>53</v>
      </c>
      <c r="J13" s="11" t="str">
        <f aca="false">IF(I13="","",HYPERLINK("https://www.amazon.com/dp/"&amp;I13&amp;"/?tag="&amp;$C$2,"amazon.com/dp/"&amp;I13))</f>
        <v>amazon.com/dp/B0CYPVMK9J</v>
      </c>
      <c r="K13" s="7" t="s">
        <v>19</v>
      </c>
      <c r="L13" s="7" t="s">
        <v>54</v>
      </c>
    </row>
    <row r="14" customFormat="false" ht="23.25" hidden="false" customHeight="true" outlineLevel="0" collapsed="false">
      <c r="A14" s="7" t="n">
        <v>9</v>
      </c>
      <c r="B14" s="7" t="s">
        <v>55</v>
      </c>
      <c r="C14" s="7" t="s">
        <v>56</v>
      </c>
      <c r="D14" s="8" t="n">
        <v>1</v>
      </c>
      <c r="E14" s="8" t="n">
        <v>120</v>
      </c>
      <c r="F14" s="7" t="n">
        <f aca="false">IF(OR(D14=0,E14=""),0,ROUNDUP(D14/E14,0))</f>
        <v>1</v>
      </c>
      <c r="G14" s="9" t="n">
        <v>6.98</v>
      </c>
      <c r="H14" s="10" t="n">
        <f aca="false">IF(G14="","",F14*G14)</f>
        <v>6.98</v>
      </c>
      <c r="I14" s="8" t="s">
        <v>57</v>
      </c>
      <c r="J14" s="11" t="str">
        <f aca="false">IF(I14="","",HYPERLINK("https://www.amazon.com/dp/"&amp;I14&amp;"/?tag="&amp;$C$2,"amazon.com/dp/"&amp;I14))</f>
        <v>amazon.com/dp/B01EV70C78</v>
      </c>
      <c r="K14" s="7" t="s">
        <v>19</v>
      </c>
      <c r="L14" s="7" t="s">
        <v>58</v>
      </c>
    </row>
    <row r="15" customFormat="false" ht="15" hidden="false" customHeight="true" outlineLevel="0" collapsed="false">
      <c r="A15" s="7" t="n">
        <v>10</v>
      </c>
      <c r="B15" s="7" t="s">
        <v>59</v>
      </c>
      <c r="C15" s="7" t="s">
        <v>60</v>
      </c>
      <c r="D15" s="8" t="n">
        <v>0</v>
      </c>
      <c r="E15" s="8" t="n">
        <v>1</v>
      </c>
      <c r="F15" s="7" t="n">
        <f aca="false">IF(OR(D15=0,E15=""),0,ROUNDUP(D15/E15,0))</f>
        <v>0</v>
      </c>
      <c r="G15" s="9" t="n">
        <v>8.99</v>
      </c>
      <c r="H15" s="10" t="n">
        <f aca="false">IF(G15="","",F15*G15)</f>
        <v>0</v>
      </c>
      <c r="I15" s="8" t="s">
        <v>61</v>
      </c>
      <c r="J15" s="11" t="str">
        <f aca="false">IF(I15="","",HYPERLINK("https://www.amazon.com/dp/"&amp;I15&amp;"/?tag="&amp;$C$2,"amazon.com/dp/"&amp;I15))</f>
        <v>amazon.com/dp/B08M3QLL3Q</v>
      </c>
      <c r="K15" s="7" t="s">
        <v>62</v>
      </c>
      <c r="L15" s="7" t="s">
        <v>63</v>
      </c>
    </row>
    <row r="16" customFormat="false" ht="15" hidden="false" customHeight="true" outlineLevel="0" collapsed="false">
      <c r="G16" s="12" t="s">
        <v>64</v>
      </c>
      <c r="H16" s="13" t="n">
        <f aca="false">SUM(H6:H15)</f>
        <v>84.45</v>
      </c>
    </row>
    <row r="17" customFormat="false" ht="15" hidden="false" customHeight="true" outlineLevel="0" collapsed="false">
      <c r="G17" s="5" t="s">
        <v>65</v>
      </c>
    </row>
    <row r="19" customFormat="false" ht="15" hidden="false" customHeight="true" outlineLevel="0" collapsed="false">
      <c r="A19" s="5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2026-09-04T06:55:46Z</dcterms:created>
  <dc:creator>openpyxl</dc:creator>
  <dc:description/>
  <dc:language>en-US</dc:language>
  <cp:lastModifiedBy/>
  <dcterms:modified xsi:type="dcterms:W3CDTF">2026-09-04T07:02:16Z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